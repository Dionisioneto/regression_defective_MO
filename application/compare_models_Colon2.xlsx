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https://statphd-my.sharepoint.com/personal/dionisioneto_statphd_onmicrosoft_com/Documents/Doutorado em Estatística/03_semestres/2024.2/2_Topicos_Avancados_de_Pesquisa_I/R_code/covariates/regression_defective_MO/aplicacao/"/>
    </mc:Choice>
  </mc:AlternateContent>
  <xr:revisionPtr revIDLastSave="557" documentId="14_{8AE42604-F5F8-44BD-852A-686BC4944D73}" xr6:coauthVersionLast="47" xr6:coauthVersionMax="47" xr10:uidLastSave="{5B7C6ADA-00DF-4FF1-B20A-3BF0D97D8D1F}"/>
  <bookViews>
    <workbookView xWindow="-50640" yWindow="960" windowWidth="38700" windowHeight="15285" xr2:uid="{00000000-000D-0000-FFFF-FFFF00000000}"/>
  </bookViews>
  <sheets>
    <sheet name="frequentis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4" i="1" l="1"/>
  <c r="O4" i="1"/>
  <c r="Q5" i="1"/>
  <c r="Q6" i="1"/>
  <c r="Q7" i="1"/>
  <c r="Q8" i="1"/>
  <c r="Q12" i="1"/>
  <c r="Q13" i="1"/>
  <c r="Q14" i="1"/>
  <c r="Q15" i="1"/>
  <c r="Q16" i="1"/>
  <c r="O12" i="1"/>
  <c r="P12" i="1"/>
  <c r="O13" i="1"/>
  <c r="P13" i="1"/>
  <c r="O14" i="1"/>
  <c r="P14" i="1"/>
  <c r="O15" i="1"/>
  <c r="P15" i="1"/>
  <c r="O16" i="1"/>
  <c r="P16" i="1"/>
  <c r="O5" i="1"/>
  <c r="P5" i="1"/>
  <c r="O6" i="1"/>
  <c r="P6" i="1"/>
  <c r="O7" i="1"/>
  <c r="P7" i="1"/>
  <c r="O8" i="1"/>
  <c r="P8" i="1"/>
  <c r="P4" i="1"/>
</calcChain>
</file>

<file path=xl/sharedStrings.xml><?xml version="1.0" encoding="utf-8"?>
<sst xmlns="http://schemas.openxmlformats.org/spreadsheetml/2006/main" count="82" uniqueCount="53">
  <si>
    <t>Model</t>
  </si>
  <si>
    <t>Marshall Olkin Gompertz</t>
  </si>
  <si>
    <t>Marshall Olkin inverse Gaussian</t>
  </si>
  <si>
    <t>Gompertz</t>
  </si>
  <si>
    <t>Inverse Gaussian</t>
  </si>
  <si>
    <t>AICc</t>
  </si>
  <si>
    <t>BIC</t>
  </si>
  <si>
    <t>HQIC</t>
  </si>
  <si>
    <t>CAIC</t>
  </si>
  <si>
    <t>2780.95</t>
  </si>
  <si>
    <t>2805.06</t>
  </si>
  <si>
    <t>2790.11</t>
  </si>
  <si>
    <t>2810.06</t>
  </si>
  <si>
    <t>2829.04</t>
  </si>
  <si>
    <t>2853.14</t>
  </si>
  <si>
    <t>2838.19</t>
  </si>
  <si>
    <t>2858.14</t>
  </si>
  <si>
    <t>2852.69</t>
  </si>
  <si>
    <t>2840.73</t>
  </si>
  <si>
    <t>2856.69</t>
  </si>
  <si>
    <t>2858.49</t>
  </si>
  <si>
    <t>2877.78</t>
  </si>
  <si>
    <t>2865.82</t>
  </si>
  <si>
    <t>2881.78</t>
  </si>
  <si>
    <t>2833.40</t>
  </si>
  <si>
    <t>Marshall-Olkin Gompertz</t>
  </si>
  <si>
    <t>Parameter</t>
  </si>
  <si>
    <t>MLE</t>
  </si>
  <si>
    <t>SE</t>
  </si>
  <si>
    <t>Lower</t>
  </si>
  <si>
    <t>Upper</t>
  </si>
  <si>
    <t>$a_0$</t>
  </si>
  <si>
    <t>$a_1$</t>
  </si>
  <si>
    <t>$b_0$</t>
  </si>
  <si>
    <t>$b_1$</t>
  </si>
  <si>
    <t>$\lambda$</t>
  </si>
  <si>
    <t>-1385.44</t>
  </si>
  <si>
    <t>Marshall-Olkin Inverse Gaussian</t>
  </si>
  <si>
    <t>-1409.49</t>
  </si>
  <si>
    <t>-1412.68</t>
  </si>
  <si>
    <t>-1425.22</t>
  </si>
  <si>
    <t>max $\ell(\bm{\vartheta})$</t>
  </si>
  <si>
    <t>(-0,5264 ; -0,3477)</t>
  </si>
  <si>
    <t>(-0,275 ; -0,0756)</t>
  </si>
  <si>
    <t>(0,1019 ; 0,7938)</t>
  </si>
  <si>
    <t>(0,4351 ; 0,7901)</t>
  </si>
  <si>
    <t>(12,5498 ; 69,3091)</t>
  </si>
  <si>
    <t>C.I (95%)</t>
  </si>
  <si>
    <t>(0,0276 ; 0,2233)</t>
  </si>
  <si>
    <t>(0,2114 ; 0,4265)</t>
  </si>
  <si>
    <t>(-0,7051 ; -0,0059)</t>
  </si>
  <si>
    <t>(0,1675 ; 0,9382)</t>
  </si>
  <si>
    <t>(2,0833 ; 6,5903)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</si>
</sst>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6" formatCode="0.000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F8F8F2"/>
      <name val="Lucida Console"/>
      <family val="3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3" fillId="0" borderId="0" applyFont="0" applyFill="0" applyBorder="0" applyAlignment="0" applyProtection="0"/>
  </cellStyleXfs>
  <cellXfs count="11">
    <xf numFmtId="0" fontId="0" fillId="0" borderId="0" xfId="0"/>
    <xf numFmtId="0" fontId="2" fillId="0" borderId="0" xfId="0" applyFont="1" applyAlignment="1">
      <alignment vertical="center"/>
    </xf>
    <xf numFmtId="0" fontId="0" fillId="0" borderId="0" xfId="0" quotePrefix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3" fontId="1" fillId="0" borderId="0" xfId="0" applyNumberFormat="1" applyFont="1" applyAlignment="1">
      <alignment horizontal="center"/>
    </xf>
    <xf numFmtId="166" fontId="0" fillId="0" borderId="0" xfId="0" applyNumberFormat="1"/>
    <xf numFmtId="166" fontId="0" fillId="0" borderId="0" xfId="0" quotePrefix="1" applyNumberFormat="1"/>
    <xf numFmtId="43" fontId="0" fillId="0" borderId="0" xfId="1" applyFont="1"/>
    <xf numFmtId="166" fontId="0" fillId="0" borderId="0" xfId="0" applyNumberFormat="1" applyAlignment="1">
      <alignment horizontal="center"/>
    </xf>
    <xf numFmtId="166" fontId="0" fillId="0" borderId="0" xfId="0" quotePrefix="1" applyNumberFormat="1" applyAlignment="1">
      <alignment horizontal="center"/>
    </xf>
  </cellXfs>
  <cellStyles count="2">
    <cellStyle name="Normal" xfId="0" builtinId="0"/>
    <cellStyle name="Vírgula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V17"/>
  <sheetViews>
    <sheetView tabSelected="1" zoomScaleNormal="100" workbookViewId="0">
      <selection activeCell="V6" sqref="V6"/>
    </sheetView>
  </sheetViews>
  <sheetFormatPr defaultRowHeight="14.4" x14ac:dyDescent="0.3"/>
  <cols>
    <col min="2" max="2" width="26.88671875" bestFit="1" customWidth="1"/>
    <col min="7" max="7" width="23.33203125" bestFit="1" customWidth="1"/>
    <col min="9" max="9" width="14.21875" customWidth="1"/>
    <col min="10" max="10" width="9.88671875" customWidth="1"/>
    <col min="11" max="11" width="10.6640625" customWidth="1"/>
    <col min="12" max="12" width="10.21875" customWidth="1"/>
    <col min="13" max="13" width="11.21875" bestFit="1" customWidth="1"/>
    <col min="15" max="15" width="10.109375" customWidth="1"/>
    <col min="17" max="17" width="18" bestFit="1" customWidth="1"/>
    <col min="19" max="19" width="18.5546875" customWidth="1"/>
    <col min="20" max="21" width="10.21875" customWidth="1"/>
    <col min="22" max="22" width="16.5546875" bestFit="1" customWidth="1"/>
  </cols>
  <sheetData>
    <row r="2" spans="2:22" x14ac:dyDescent="0.3">
      <c r="I2" t="s">
        <v>25</v>
      </c>
    </row>
    <row r="3" spans="2:22" x14ac:dyDescent="0.3">
      <c r="B3" t="s">
        <v>0</v>
      </c>
      <c r="C3" s="2" t="s">
        <v>5</v>
      </c>
      <c r="D3" s="2" t="s">
        <v>6</v>
      </c>
      <c r="E3" s="3" t="s">
        <v>7</v>
      </c>
      <c r="F3" s="3" t="s">
        <v>8</v>
      </c>
      <c r="G3" s="3" t="s">
        <v>41</v>
      </c>
      <c r="I3" t="s">
        <v>26</v>
      </c>
      <c r="J3" t="s">
        <v>27</v>
      </c>
      <c r="K3" t="s">
        <v>28</v>
      </c>
      <c r="L3" t="s">
        <v>29</v>
      </c>
      <c r="M3" t="s">
        <v>30</v>
      </c>
      <c r="S3" t="s">
        <v>25</v>
      </c>
    </row>
    <row r="4" spans="2:22" x14ac:dyDescent="0.3">
      <c r="B4" t="s">
        <v>3</v>
      </c>
      <c r="C4" s="3" t="s">
        <v>24</v>
      </c>
      <c r="D4" s="3" t="s">
        <v>17</v>
      </c>
      <c r="E4" s="3" t="s">
        <v>18</v>
      </c>
      <c r="F4" s="3" t="s">
        <v>19</v>
      </c>
      <c r="G4" s="3" t="s">
        <v>39</v>
      </c>
      <c r="I4" t="s">
        <v>31</v>
      </c>
      <c r="J4" s="6">
        <v>-0.43707200000000002</v>
      </c>
      <c r="K4" s="6">
        <v>4.5594299999999997E-2</v>
      </c>
      <c r="L4" s="6">
        <v>-0.52643700000000004</v>
      </c>
      <c r="M4" s="6">
        <v>-0.34770719999999999</v>
      </c>
      <c r="O4" s="6">
        <f>ROUND(L4,4)</f>
        <v>-0.52639999999999998</v>
      </c>
      <c r="P4" s="6">
        <f>ROUND(M4,4)</f>
        <v>-0.34770000000000001</v>
      </c>
      <c r="Q4" s="8" t="str">
        <f>"("&amp;O4&amp;" ; "&amp;P4&amp;")"</f>
        <v>(-0,5264 ; -0,3477)</v>
      </c>
      <c r="S4" t="s">
        <v>26</v>
      </c>
      <c r="T4" s="3" t="s">
        <v>27</v>
      </c>
      <c r="U4" s="3" t="s">
        <v>28</v>
      </c>
      <c r="V4" s="3" t="s">
        <v>47</v>
      </c>
    </row>
    <row r="5" spans="2:22" x14ac:dyDescent="0.3">
      <c r="B5" t="s">
        <v>4</v>
      </c>
      <c r="C5" s="3" t="s">
        <v>20</v>
      </c>
      <c r="D5" s="3" t="s">
        <v>21</v>
      </c>
      <c r="E5" s="3" t="s">
        <v>22</v>
      </c>
      <c r="F5" s="3" t="s">
        <v>23</v>
      </c>
      <c r="G5" s="3" t="s">
        <v>40</v>
      </c>
      <c r="I5" t="s">
        <v>32</v>
      </c>
      <c r="J5" s="6">
        <v>-0.17528099999999999</v>
      </c>
      <c r="K5" s="6">
        <v>5.0873099999999997E-2</v>
      </c>
      <c r="L5" s="6">
        <v>-0.27499200000000001</v>
      </c>
      <c r="M5" s="6">
        <v>-7.5569899999999995E-2</v>
      </c>
      <c r="O5" s="6">
        <f t="shared" ref="O5:O8" si="0">ROUND(L5,4)</f>
        <v>-0.27500000000000002</v>
      </c>
      <c r="P5" s="6">
        <f t="shared" ref="P5:P8" si="1">ROUND(M5,4)</f>
        <v>-7.5600000000000001E-2</v>
      </c>
      <c r="Q5" s="8" t="str">
        <f t="shared" ref="Q5:Q16" si="2">"("&amp;O5&amp;" ; "&amp;P5&amp;")"</f>
        <v>(-0,275 ; -0,0756)</v>
      </c>
      <c r="S5" t="s">
        <v>31</v>
      </c>
      <c r="T5" s="9">
        <v>-0.43707200000000002</v>
      </c>
      <c r="U5" s="9">
        <v>4.5594299999999997E-2</v>
      </c>
      <c r="V5" s="3" t="s">
        <v>42</v>
      </c>
    </row>
    <row r="6" spans="2:22" x14ac:dyDescent="0.3">
      <c r="B6" t="s">
        <v>1</v>
      </c>
      <c r="C6" s="4" t="s">
        <v>9</v>
      </c>
      <c r="D6" s="5" t="s">
        <v>10</v>
      </c>
      <c r="E6" s="4" t="s">
        <v>11</v>
      </c>
      <c r="F6" s="4" t="s">
        <v>12</v>
      </c>
      <c r="G6" s="3" t="s">
        <v>36</v>
      </c>
      <c r="I6" t="s">
        <v>33</v>
      </c>
      <c r="J6" s="6">
        <v>0.44783800000000001</v>
      </c>
      <c r="K6" s="6">
        <v>0.17650840000000001</v>
      </c>
      <c r="L6" s="6">
        <v>0.101882</v>
      </c>
      <c r="M6" s="6">
        <v>0.79379480000000002</v>
      </c>
      <c r="O6" s="6">
        <f t="shared" si="0"/>
        <v>0.1019</v>
      </c>
      <c r="P6" s="6">
        <f t="shared" si="1"/>
        <v>0.79379999999999995</v>
      </c>
      <c r="Q6" s="8" t="str">
        <f t="shared" si="2"/>
        <v>(0,1019 ; 0,7938)</v>
      </c>
      <c r="S6" t="s">
        <v>32</v>
      </c>
      <c r="T6" s="9">
        <v>-0.17528099999999999</v>
      </c>
      <c r="U6" s="9">
        <v>5.0873099999999997E-2</v>
      </c>
      <c r="V6" s="3" t="s">
        <v>43</v>
      </c>
    </row>
    <row r="7" spans="2:22" x14ac:dyDescent="0.3">
      <c r="B7" t="s">
        <v>2</v>
      </c>
      <c r="C7" s="3" t="s">
        <v>13</v>
      </c>
      <c r="D7" s="3" t="s">
        <v>14</v>
      </c>
      <c r="E7" s="3" t="s">
        <v>15</v>
      </c>
      <c r="F7" s="3" t="s">
        <v>16</v>
      </c>
      <c r="G7" s="3" t="s">
        <v>38</v>
      </c>
      <c r="I7" t="s">
        <v>34</v>
      </c>
      <c r="J7" s="6">
        <v>0.61261200000000005</v>
      </c>
      <c r="K7" s="6">
        <v>9.0573600000000004E-2</v>
      </c>
      <c r="L7" s="6">
        <v>0.43508799999999997</v>
      </c>
      <c r="M7" s="6">
        <v>0.7901359</v>
      </c>
      <c r="O7" s="6">
        <f t="shared" si="0"/>
        <v>0.43509999999999999</v>
      </c>
      <c r="P7" s="6">
        <f t="shared" si="1"/>
        <v>0.79010000000000002</v>
      </c>
      <c r="Q7" s="8" t="str">
        <f t="shared" si="2"/>
        <v>(0,4351 ; 0,7901)</v>
      </c>
      <c r="S7" t="s">
        <v>33</v>
      </c>
      <c r="T7" s="9">
        <v>0.44783800000000001</v>
      </c>
      <c r="U7" s="9">
        <v>0.17650840000000001</v>
      </c>
      <c r="V7" s="3" t="s">
        <v>44</v>
      </c>
    </row>
    <row r="8" spans="2:22" x14ac:dyDescent="0.3">
      <c r="I8" t="s">
        <v>35</v>
      </c>
      <c r="J8" s="7">
        <v>40.929467000000002</v>
      </c>
      <c r="K8" s="7">
        <v>14.479398099999999</v>
      </c>
      <c r="L8" s="7">
        <v>12.549847</v>
      </c>
      <c r="M8" s="7">
        <v>69.309087599999998</v>
      </c>
      <c r="O8" s="6">
        <f t="shared" si="0"/>
        <v>12.549799999999999</v>
      </c>
      <c r="P8" s="6">
        <f t="shared" si="1"/>
        <v>69.309100000000001</v>
      </c>
      <c r="Q8" s="8" t="str">
        <f t="shared" si="2"/>
        <v>(12,5498 ; 69,3091)</v>
      </c>
      <c r="S8" t="s">
        <v>34</v>
      </c>
      <c r="T8" s="9">
        <v>0.61261200000000005</v>
      </c>
      <c r="U8" s="9">
        <v>9.0573600000000004E-2</v>
      </c>
      <c r="V8" s="3" t="s">
        <v>45</v>
      </c>
    </row>
    <row r="9" spans="2:22" x14ac:dyDescent="0.3">
      <c r="J9" s="6"/>
      <c r="K9" s="6"/>
      <c r="L9" s="6"/>
      <c r="M9" s="6"/>
      <c r="O9" s="6"/>
      <c r="P9" s="6"/>
      <c r="Q9" s="8"/>
      <c r="S9" t="s">
        <v>35</v>
      </c>
      <c r="T9" s="10">
        <v>40.929467000000002</v>
      </c>
      <c r="U9" s="10">
        <v>14.479398099999999</v>
      </c>
      <c r="V9" s="3" t="s">
        <v>46</v>
      </c>
    </row>
    <row r="10" spans="2:22" x14ac:dyDescent="0.3">
      <c r="G10" s="1"/>
      <c r="I10" t="s">
        <v>37</v>
      </c>
      <c r="J10" s="6"/>
      <c r="K10" s="6"/>
      <c r="L10" s="6"/>
      <c r="M10" s="6"/>
      <c r="O10" s="6"/>
      <c r="P10" s="6"/>
      <c r="Q10" s="8"/>
    </row>
    <row r="11" spans="2:22" x14ac:dyDescent="0.3">
      <c r="I11" t="s">
        <v>26</v>
      </c>
      <c r="J11" s="6" t="s">
        <v>27</v>
      </c>
      <c r="K11" s="6" t="s">
        <v>28</v>
      </c>
      <c r="L11" s="6" t="s">
        <v>29</v>
      </c>
      <c r="M11" s="6" t="s">
        <v>30</v>
      </c>
      <c r="O11" s="6"/>
      <c r="P11" s="6"/>
      <c r="Q11" s="8"/>
      <c r="S11" t="s">
        <v>37</v>
      </c>
      <c r="T11" s="6"/>
      <c r="U11" s="6"/>
    </row>
    <row r="12" spans="2:22" x14ac:dyDescent="0.3">
      <c r="I12" t="s">
        <v>31</v>
      </c>
      <c r="J12" s="6">
        <v>0.125441</v>
      </c>
      <c r="K12" s="6">
        <v>4.9926400000000003E-2</v>
      </c>
      <c r="L12" s="6">
        <v>2.75848E-2</v>
      </c>
      <c r="M12" s="6">
        <v>0.22329626</v>
      </c>
      <c r="O12" s="6">
        <f t="shared" ref="O12:O16" si="3">ROUND(L12,4)</f>
        <v>2.76E-2</v>
      </c>
      <c r="P12" s="6">
        <f t="shared" ref="P12:P16" si="4">ROUND(M12,4)</f>
        <v>0.2233</v>
      </c>
      <c r="Q12" s="8" t="str">
        <f t="shared" si="2"/>
        <v>(0,0276 ; 0,2233)</v>
      </c>
      <c r="S12" t="s">
        <v>26</v>
      </c>
      <c r="T12" s="9" t="s">
        <v>27</v>
      </c>
      <c r="U12" s="9" t="s">
        <v>28</v>
      </c>
      <c r="V12" s="3" t="s">
        <v>47</v>
      </c>
    </row>
    <row r="13" spans="2:22" x14ac:dyDescent="0.3">
      <c r="I13" t="s">
        <v>32</v>
      </c>
      <c r="J13" s="6">
        <v>0.31893700000000003</v>
      </c>
      <c r="K13" s="6">
        <v>5.4875399999999998E-2</v>
      </c>
      <c r="L13" s="6">
        <v>0.21138170000000001</v>
      </c>
      <c r="M13" s="6">
        <v>0.42649314999999999</v>
      </c>
      <c r="O13" s="6">
        <f t="shared" si="3"/>
        <v>0.2114</v>
      </c>
      <c r="P13" s="6">
        <f t="shared" si="4"/>
        <v>0.42649999999999999</v>
      </c>
      <c r="Q13" s="8" t="str">
        <f t="shared" si="2"/>
        <v>(0,2114 ; 0,4265)</v>
      </c>
      <c r="S13" t="s">
        <v>31</v>
      </c>
      <c r="T13" s="9">
        <v>0.125441</v>
      </c>
      <c r="U13" s="9">
        <v>4.9926400000000003E-2</v>
      </c>
      <c r="V13" s="3" t="s">
        <v>48</v>
      </c>
    </row>
    <row r="14" spans="2:22" x14ac:dyDescent="0.3">
      <c r="I14" t="s">
        <v>33</v>
      </c>
      <c r="J14" s="6">
        <v>-0.35548099999999999</v>
      </c>
      <c r="K14" s="6">
        <v>0.17838000000000001</v>
      </c>
      <c r="L14" s="6">
        <v>-0.70510569999999995</v>
      </c>
      <c r="M14" s="6">
        <v>-5.8560699999999997E-3</v>
      </c>
      <c r="O14" s="6">
        <f t="shared" si="3"/>
        <v>-0.70509999999999995</v>
      </c>
      <c r="P14" s="6">
        <f t="shared" si="4"/>
        <v>-5.8999999999999999E-3</v>
      </c>
      <c r="Q14" s="8" t="str">
        <f t="shared" si="2"/>
        <v>(-0,7051 ; -0,0059)</v>
      </c>
      <c r="S14" t="s">
        <v>32</v>
      </c>
      <c r="T14" s="9">
        <v>0.31893700000000003</v>
      </c>
      <c r="U14" s="9">
        <v>5.4875399999999998E-2</v>
      </c>
      <c r="V14" s="3" t="s">
        <v>49</v>
      </c>
    </row>
    <row r="15" spans="2:22" x14ac:dyDescent="0.3">
      <c r="I15" t="s">
        <v>34</v>
      </c>
      <c r="J15" s="6">
        <v>0.55283099999999996</v>
      </c>
      <c r="K15" s="6">
        <v>0.19660330000000001</v>
      </c>
      <c r="L15" s="6">
        <v>0.1674889</v>
      </c>
      <c r="M15" s="6">
        <v>0.9381737</v>
      </c>
      <c r="O15" s="6">
        <f t="shared" si="3"/>
        <v>0.16750000000000001</v>
      </c>
      <c r="P15" s="6">
        <f t="shared" si="4"/>
        <v>0.93820000000000003</v>
      </c>
      <c r="Q15" s="8" t="str">
        <f t="shared" si="2"/>
        <v>(0,1675 ; 0,9382)</v>
      </c>
      <c r="S15" t="s">
        <v>33</v>
      </c>
      <c r="T15" s="9">
        <v>-0.35548099999999999</v>
      </c>
      <c r="U15" s="9">
        <v>0.17838000000000001</v>
      </c>
      <c r="V15" s="3" t="s">
        <v>50</v>
      </c>
    </row>
    <row r="16" spans="2:22" x14ac:dyDescent="0.3">
      <c r="I16" t="s">
        <v>35</v>
      </c>
      <c r="J16" s="7">
        <v>4.3368029999999997</v>
      </c>
      <c r="K16" s="7">
        <v>1.1497284999999999</v>
      </c>
      <c r="L16" s="7">
        <v>2.0833352999999999</v>
      </c>
      <c r="M16" s="7">
        <v>6.5902710799999999</v>
      </c>
      <c r="O16" s="6">
        <f t="shared" si="3"/>
        <v>2.0832999999999999</v>
      </c>
      <c r="P16" s="6">
        <f t="shared" si="4"/>
        <v>6.5903</v>
      </c>
      <c r="Q16" s="8" t="str">
        <f t="shared" si="2"/>
        <v>(2,0833 ; 6,5903)</v>
      </c>
      <c r="S16" t="s">
        <v>34</v>
      </c>
      <c r="T16" s="9">
        <v>0.55283099999999996</v>
      </c>
      <c r="U16" s="9">
        <v>0.19660330000000001</v>
      </c>
      <c r="V16" s="3" t="s">
        <v>51</v>
      </c>
    </row>
    <row r="17" spans="19:22" x14ac:dyDescent="0.3">
      <c r="S17" t="s">
        <v>35</v>
      </c>
      <c r="T17" s="10">
        <v>4.3368029999999997</v>
      </c>
      <c r="U17" s="10">
        <v>1.1497284999999999</v>
      </c>
      <c r="V17" s="3" t="s">
        <v>52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frequentist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Dionisio Neto</dc:creator>
  <cp:lastModifiedBy>Dionisio Neto</cp:lastModifiedBy>
  <dcterms:created xsi:type="dcterms:W3CDTF">2015-06-05T18:17:20Z</dcterms:created>
  <dcterms:modified xsi:type="dcterms:W3CDTF">2025-03-11T07:40:03Z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2024-11-09T03:32:40Z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5541e229-55b2-4bc1-af32-c3c3ff742b76</vt:lpwstr>
  </property>
  <property fmtid="{D5CDD505-2E9C-101B-9397-08002B2CF9AE}" pid="7" name="MSIP_Label_defa4170-0d19-0005-0004-bc88714345d2_ActionId">
    <vt:lpwstr>aa62adcf-90d2-478f-8b23-ac0262e1980e</vt:lpwstr>
  </property>
  <property fmtid="{D5CDD505-2E9C-101B-9397-08002B2CF9AE}" pid="8" name="MSIP_Label_defa4170-0d19-0005-0004-bc88714345d2_ContentBits">
    <vt:lpwstr>0</vt:lpwstr>
  </property>
</Properties>
</file>